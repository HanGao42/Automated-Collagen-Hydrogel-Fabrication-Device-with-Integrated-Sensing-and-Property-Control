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920"/>
  </bookViews>
  <sheets>
    <sheet name="BOM Table" sheetId="1" r:id="rId1"/>
  </sheets>
  <calcPr calcId="144525"/>
</workbook>
</file>

<file path=xl/sharedStrings.xml><?xml version="1.0" encoding="utf-8"?>
<sst xmlns="http://schemas.openxmlformats.org/spreadsheetml/2006/main" count="49" uniqueCount="45">
  <si>
    <t>Unused Material List</t>
  </si>
  <si>
    <t>Part Description</t>
  </si>
  <si>
    <t>Quantity</t>
  </si>
  <si>
    <t>Cost (inc. VAT) Each</t>
  </si>
  <si>
    <t>Cost (inc. VAT) Total</t>
  </si>
  <si>
    <t>Condition</t>
  </si>
  <si>
    <t>Suggested Future Use</t>
  </si>
  <si>
    <t>Assorted nuts and bolts</t>
  </si>
  <si>
    <t>Partially unused / clean; check thread compatibility before reuse</t>
  </si>
  <si>
    <t>General mechanical assembly, replacement fasteners and future prototype modifications</t>
  </si>
  <si>
    <t xml:space="preserve">6 well plate, TC treated, sterile, individually wrapped, with lid, Corning </t>
  </si>
  <si>
    <t>Mostly unopened / sterile while sealed; check packaging and expiry before lab use</t>
  </si>
  <si>
    <t>Future collagen hydrogel preparation, calibration samples or gelation tests</t>
  </si>
  <si>
    <t>pH indicator solution</t>
  </si>
  <si>
    <t>Unused / sealed if unopened; check expiry and contamination before reuse</t>
  </si>
  <si>
    <t>Colourimetric pH calibration and indicator-based pH sensing tests</t>
  </si>
  <si>
    <t xml:space="preserve">Breadboard Kit. Breadboard + Jumping Wires </t>
  </si>
  <si>
    <t>Breadboards unused; jumper wires partially remaining and reusable</t>
  </si>
  <si>
    <t>Electronics prototyping, temporary wiring and sensor/motor driver testing</t>
  </si>
  <si>
    <t>Raspberry Pi 5 Board</t>
  </si>
  <si>
    <t>Functional reusable electronics; check boot and power supply before reuse</t>
  </si>
  <si>
    <t>Main controller or image-processing platform for future optical sensing/GUI development</t>
  </si>
  <si>
    <t>Raspberry Pi Camera Module 3</t>
  </si>
  <si>
    <t>Functional reusable camera module; check ribbon cable and lens condition</t>
  </si>
  <si>
    <t>Colour/pH sensing, image capture and calibration testing</t>
  </si>
  <si>
    <t>DMEM, high glucose, HEPES, 500 mL-Each</t>
  </si>
  <si>
    <t>Unused / sealed if unopened; store according to supplier instructions and check expiry</t>
  </si>
  <si>
    <t>Future buffer/media testing, pH calibration validation and collagen preparation work</t>
  </si>
  <si>
    <t xml:space="preserve">DTGN M3-0.5x10mm Flat Head Socket Cap Screws </t>
  </si>
  <si>
    <t>Partially unused / clean</t>
  </si>
  <si>
    <t>Replacement countersunk screws for enclosure, brackets and mechanical assembly</t>
  </si>
  <si>
    <t xml:space="preserve">100Pcs M3 3mm Female Thread Hex Metal Nut </t>
  </si>
  <si>
    <t>Replacement M3 nuts for future assembly and maintenance</t>
  </si>
  <si>
    <t xml:space="preserve">12Pcs LM6UU Linear Ball Bearings </t>
  </si>
  <si>
    <t>Partially unused / clean; check smooth motion before reuse</t>
  </si>
  <si>
    <t>Linear motion support for gantry/deposition mechanism or spare bearing replacement</t>
  </si>
  <si>
    <t>Tee Wing Knobs Thumb Screws M5 x 40mm Standard Male</t>
  </si>
  <si>
    <t>Manual fastening/adjustment points for prototype fixtures</t>
  </si>
  <si>
    <t xml:space="preserve">20 Pcs M3-0.5 x 20mm Hex Socket Head Screws </t>
  </si>
  <si>
    <t>Replacement screws for frame, gantry and bracket assembly</t>
  </si>
  <si>
    <t>(28*15cm) heating mat</t>
  </si>
  <si>
    <t>Unused / functional; electrical safety check before reuse</t>
  </si>
  <si>
    <t>Temperature-control testing or small-area gelation chamber heating</t>
  </si>
  <si>
    <t>(28*28cm) heating mat</t>
  </si>
  <si>
    <t>Larger-area heating for deposition chamber or gelation 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</si>
</sst>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"/>
  </numFmts>
  <fonts count="23">
    <font>
      <sz val="11"/>
      <name val="Carlito"/>
      <charset val="134"/>
    </font>
    <font>
      <b/>
      <sz val="20"/>
      <name val="Arial Bold"/>
      <charset val="134"/>
    </font>
    <font>
      <b/>
      <sz val="11"/>
      <color rgb="FFFFFFFF"/>
      <name val="Carlito"/>
      <charset val="134"/>
    </font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4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Font="1"/>
    <xf numFmtId="0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wrapText="1"/>
    </xf>
    <xf numFmtId="1" fontId="0" fillId="3" borderId="1" xfId="0" applyNumberFormat="1" applyFont="1" applyFill="1" applyBorder="1" applyAlignment="1">
      <alignment wrapText="1"/>
    </xf>
    <xf numFmtId="176" fontId="0" fillId="3" borderId="1" xfId="0" applyNumberFormat="1" applyFont="1" applyFill="1" applyBorder="1" applyAlignment="1">
      <alignment wrapText="1"/>
    </xf>
    <xf numFmtId="0" fontId="3" fillId="0" borderId="0" xfId="0" applyFont="1" applyAlignment="1"/>
    <xf numFmtId="0" fontId="4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OM_Simplified" displayName="BOM_Simplified" ref="A4:F18">
  <tableColumns count="6">
    <tableColumn id="2" name="Part Description"/>
    <tableColumn id="4" name="Quantity"/>
    <tableColumn id="5" name="Cost (inc. VAT) Each"/>
    <tableColumn id="6" name="Cost (inc. VAT) Total"/>
    <tableColumn id="1" name="Condition"/>
    <tableColumn id="3" name="Suggested Future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A8" sqref="A8"/>
    </sheetView>
  </sheetViews>
  <sheetFormatPr defaultColWidth="9" defaultRowHeight="16.8" outlineLevelCol="5"/>
  <cols>
    <col min="1" max="1" width="45" customWidth="1"/>
    <col min="2" max="2" width="10" customWidth="1"/>
    <col min="3" max="4" width="15" customWidth="1"/>
    <col min="5" max="5" width="42" customWidth="1"/>
    <col min="6" max="6" width="50" customWidth="1"/>
  </cols>
  <sheetData>
    <row r="1" ht="32" customHeight="1" spans="1:6">
      <c r="A1" s="1" t="s">
        <v>0</v>
      </c>
      <c r="E1" s="6"/>
      <c r="F1" s="6"/>
    </row>
    <row r="2" ht="22" customHeight="1" spans="5:6">
      <c r="E2" s="6"/>
      <c r="F2" s="6"/>
    </row>
    <row r="3" spans="5:6">
      <c r="E3" s="6"/>
      <c r="F3" s="6"/>
    </row>
    <row r="4" ht="34" spans="1:6">
      <c r="A4" s="2" t="s">
        <v>1</v>
      </c>
      <c r="B4" s="2" t="s">
        <v>2</v>
      </c>
      <c r="C4" s="2" t="s">
        <v>3</v>
      </c>
      <c r="D4" s="2" t="s">
        <v>4</v>
      </c>
      <c r="E4" s="7" t="s">
        <v>5</v>
      </c>
      <c r="F4" s="7" t="s">
        <v>6</v>
      </c>
    </row>
    <row r="5" ht="43" customHeight="1" spans="1:6">
      <c r="A5" s="3" t="s">
        <v>7</v>
      </c>
      <c r="B5" s="4">
        <v>1</v>
      </c>
      <c r="C5" s="5">
        <v>10</v>
      </c>
      <c r="D5" s="5">
        <f>B5*C5</f>
        <v>10</v>
      </c>
      <c r="E5" s="8" t="s">
        <v>8</v>
      </c>
      <c r="F5" s="8" t="s">
        <v>9</v>
      </c>
    </row>
    <row r="6" ht="40" customHeight="1" spans="1:6">
      <c r="A6" s="3" t="s">
        <v>10</v>
      </c>
      <c r="B6" s="4">
        <v>1</v>
      </c>
      <c r="C6" s="5">
        <v>37.86</v>
      </c>
      <c r="D6" s="5">
        <f t="shared" ref="D6:D18" si="0">B6*C6</f>
        <v>37.86</v>
      </c>
      <c r="E6" s="8" t="s">
        <v>11</v>
      </c>
      <c r="F6" s="8" t="s">
        <v>12</v>
      </c>
    </row>
    <row r="7" ht="40" customHeight="1" spans="1:6">
      <c r="A7" s="3" t="s">
        <v>13</v>
      </c>
      <c r="B7" s="4">
        <v>2</v>
      </c>
      <c r="C7" s="5">
        <v>14.97</v>
      </c>
      <c r="D7" s="5">
        <f t="shared" si="0"/>
        <v>29.94</v>
      </c>
      <c r="E7" s="8" t="s">
        <v>14</v>
      </c>
      <c r="F7" s="8" t="s">
        <v>15</v>
      </c>
    </row>
    <row r="8" ht="42" customHeight="1" spans="1:6">
      <c r="A8" s="3" t="s">
        <v>16</v>
      </c>
      <c r="B8" s="4">
        <v>1</v>
      </c>
      <c r="C8" s="5">
        <v>12.99</v>
      </c>
      <c r="D8" s="5">
        <f t="shared" si="0"/>
        <v>12.99</v>
      </c>
      <c r="E8" s="8" t="s">
        <v>17</v>
      </c>
      <c r="F8" s="8" t="s">
        <v>18</v>
      </c>
    </row>
    <row r="9" ht="44" customHeight="1" spans="1:6">
      <c r="A9" s="3" t="s">
        <v>19</v>
      </c>
      <c r="B9" s="4">
        <v>1</v>
      </c>
      <c r="C9" s="5">
        <v>43.2</v>
      </c>
      <c r="D9" s="5">
        <f t="shared" si="0"/>
        <v>43.2</v>
      </c>
      <c r="E9" s="8" t="s">
        <v>20</v>
      </c>
      <c r="F9" s="8" t="s">
        <v>21</v>
      </c>
    </row>
    <row r="10" ht="43" customHeight="1" spans="1:6">
      <c r="A10" s="3" t="s">
        <v>22</v>
      </c>
      <c r="B10" s="4">
        <v>1</v>
      </c>
      <c r="C10" s="5">
        <v>24</v>
      </c>
      <c r="D10" s="5">
        <f t="shared" si="0"/>
        <v>24</v>
      </c>
      <c r="E10" s="8" t="s">
        <v>23</v>
      </c>
      <c r="F10" s="8" t="s">
        <v>24</v>
      </c>
    </row>
    <row r="11" ht="36" customHeight="1" spans="1:6">
      <c r="A11" s="3" t="s">
        <v>25</v>
      </c>
      <c r="B11" s="4">
        <v>1</v>
      </c>
      <c r="C11" s="5">
        <v>10.21</v>
      </c>
      <c r="D11" s="5">
        <f t="shared" si="0"/>
        <v>10.21</v>
      </c>
      <c r="E11" s="8" t="s">
        <v>26</v>
      </c>
      <c r="F11" s="8" t="s">
        <v>27</v>
      </c>
    </row>
    <row r="12" ht="36" customHeight="1" spans="1:6">
      <c r="A12" s="3" t="s">
        <v>28</v>
      </c>
      <c r="B12" s="4">
        <v>1</v>
      </c>
      <c r="C12" s="5">
        <v>4.29</v>
      </c>
      <c r="D12" s="5">
        <f t="shared" si="0"/>
        <v>4.29</v>
      </c>
      <c r="E12" s="8" t="s">
        <v>29</v>
      </c>
      <c r="F12" s="8" t="s">
        <v>30</v>
      </c>
    </row>
    <row r="13" ht="25" customHeight="1" spans="1:6">
      <c r="A13" s="3" t="s">
        <v>31</v>
      </c>
      <c r="B13" s="4">
        <v>1</v>
      </c>
      <c r="C13" s="5">
        <v>4.39</v>
      </c>
      <c r="D13" s="5">
        <f t="shared" si="0"/>
        <v>4.39</v>
      </c>
      <c r="E13" s="8" t="s">
        <v>29</v>
      </c>
      <c r="F13" s="8" t="s">
        <v>32</v>
      </c>
    </row>
    <row r="14" ht="45" customHeight="1" spans="1:6">
      <c r="A14" s="3" t="s">
        <v>33</v>
      </c>
      <c r="B14" s="4">
        <v>1</v>
      </c>
      <c r="C14" s="5">
        <v>11.99</v>
      </c>
      <c r="D14" s="5">
        <f t="shared" si="0"/>
        <v>11.99</v>
      </c>
      <c r="E14" s="8" t="s">
        <v>34</v>
      </c>
      <c r="F14" s="8" t="s">
        <v>35</v>
      </c>
    </row>
    <row r="15" ht="35" customHeight="1" spans="1:6">
      <c r="A15" s="3" t="s">
        <v>36</v>
      </c>
      <c r="B15" s="4">
        <v>1</v>
      </c>
      <c r="C15" s="5">
        <v>6.69</v>
      </c>
      <c r="D15" s="5">
        <f t="shared" si="0"/>
        <v>6.69</v>
      </c>
      <c r="E15" s="8" t="s">
        <v>29</v>
      </c>
      <c r="F15" s="8" t="s">
        <v>37</v>
      </c>
    </row>
    <row r="16" ht="35" customHeight="1" spans="1:6">
      <c r="A16" s="3" t="s">
        <v>38</v>
      </c>
      <c r="B16" s="4">
        <v>1</v>
      </c>
      <c r="C16" s="5">
        <v>5.09</v>
      </c>
      <c r="D16" s="5">
        <f t="shared" si="0"/>
        <v>5.09</v>
      </c>
      <c r="E16" s="8" t="s">
        <v>29</v>
      </c>
      <c r="F16" s="8" t="s">
        <v>39</v>
      </c>
    </row>
    <row r="17" ht="20" customHeight="1" spans="1:6">
      <c r="A17" s="3" t="s">
        <v>40</v>
      </c>
      <c r="B17" s="4">
        <v>1</v>
      </c>
      <c r="C17" s="5">
        <v>8.99</v>
      </c>
      <c r="D17" s="5">
        <f t="shared" si="0"/>
        <v>8.99</v>
      </c>
      <c r="E17" s="8" t="s">
        <v>41</v>
      </c>
      <c r="F17" s="8" t="s">
        <v>42</v>
      </c>
    </row>
    <row r="18" ht="20" customHeight="1" spans="1:6">
      <c r="A18" s="3" t="s">
        <v>43</v>
      </c>
      <c r="B18" s="4">
        <v>1</v>
      </c>
      <c r="C18" s="5">
        <v>8.99</v>
      </c>
      <c r="D18" s="5">
        <f t="shared" si="0"/>
        <v>8.99</v>
      </c>
      <c r="E18" s="8" t="s">
        <v>41</v>
      </c>
      <c r="F18" s="8" t="s">
        <v>44</v>
      </c>
    </row>
  </sheetData>
  <mergeCells count="2">
    <mergeCell ref="A1:D1"/>
    <mergeCell ref="A2:D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WPS_1695566914</cp:lastModifiedBy>
  <dcterms:created xsi:type="dcterms:W3CDTF">2026-06-11T00:05:57Z</dcterms:created>
  <dcterms:modified xsi:type="dcterms:W3CDTF">2026-06-11T00:09:38Z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42ACB627C419470EB2EE296A6A645500_43</vt:lpwstr>
  </property>
</Properties>
</file>